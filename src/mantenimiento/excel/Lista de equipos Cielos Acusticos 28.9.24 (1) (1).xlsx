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cielosacusticossrl.sharepoint.com/sites/Intranet/Servicios Generales/Control de Mtte/"/>
    </mc:Choice>
  </mc:AlternateContent>
  <xr:revisionPtr revIDLastSave="132" documentId="8_{18183CD8-E423-4A3A-A9B3-EA0C6DD9531A}" xr6:coauthVersionLast="47" xr6:coauthVersionMax="47" xr10:uidLastSave="{91B9055B-6C06-4873-B094-6B8E227B10C3}"/>
  <bookViews>
    <workbookView xWindow="-120" yWindow="-120" windowWidth="20730" windowHeight="11160" xr2:uid="{00000000-000D-0000-FFFF-FFFF00000000}"/>
  </bookViews>
  <sheets>
    <sheet name="Lista de equipos (2)" sheetId="2" r:id="rId1"/>
  </sheets>
  <definedNames>
    <definedName name="_xlnm._FilterDatabase" localSheetId="0" hidden="1">'Lista de equipos (2)'!$A$1:$O$47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2" l="1"/>
  <c r="M33" i="2"/>
  <c r="M31" i="2"/>
  <c r="M30" i="2"/>
  <c r="M15" i="2"/>
  <c r="M14" i="2"/>
  <c r="M63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<sst xmlns="http://schemas.openxmlformats.org/spreadsheetml/2006/main" count="628" uniqueCount="299">
  <si>
    <t>Tipo</t>
  </si>
  <si>
    <t>Ficha</t>
  </si>
  <si>
    <t>Equipos</t>
  </si>
  <si>
    <t>Marca</t>
  </si>
  <si>
    <t>Dimensiones</t>
  </si>
  <si>
    <t>Año</t>
  </si>
  <si>
    <t xml:space="preserve">Color </t>
  </si>
  <si>
    <t>Matricula</t>
  </si>
  <si>
    <t xml:space="preserve">Chasis </t>
  </si>
  <si>
    <t>Modelo</t>
  </si>
  <si>
    <t xml:space="preserve">Ubicación </t>
  </si>
  <si>
    <t>Cap. Carga el Libras</t>
  </si>
  <si>
    <t>Capacidad de carga recomendada por antigüedad</t>
  </si>
  <si>
    <t>Serie o motor</t>
  </si>
  <si>
    <t>Combustible</t>
  </si>
  <si>
    <t xml:space="preserve">Rendimiento (KM/gl) </t>
  </si>
  <si>
    <t xml:space="preserve">Area de servicio </t>
  </si>
  <si>
    <t>Cabezote</t>
  </si>
  <si>
    <t>CA-01</t>
  </si>
  <si>
    <t>Mack</t>
  </si>
  <si>
    <t>12 pies</t>
  </si>
  <si>
    <t>Blanco</t>
  </si>
  <si>
    <t>L369650</t>
  </si>
  <si>
    <t>1M1AW02Y0AN009890</t>
  </si>
  <si>
    <t>CX613</t>
  </si>
  <si>
    <t>Pantoja</t>
  </si>
  <si>
    <t>Gasoil</t>
  </si>
  <si>
    <t>Transportacion</t>
  </si>
  <si>
    <t xml:space="preserve">Camion Rigido </t>
  </si>
  <si>
    <t>CA-05</t>
  </si>
  <si>
    <t>Freghtliner Rigido  M2</t>
  </si>
  <si>
    <t>Freightliner</t>
  </si>
  <si>
    <t>25 pies</t>
  </si>
  <si>
    <t>L412446</t>
  </si>
  <si>
    <t>1FVHC5CY1EHFR4705</t>
  </si>
  <si>
    <t>M2 112</t>
  </si>
  <si>
    <t>Camiones ligero</t>
  </si>
  <si>
    <t>CA-06</t>
  </si>
  <si>
    <t xml:space="preserve">Camión Hyundai </t>
  </si>
  <si>
    <t>Hyundai</t>
  </si>
  <si>
    <t>16 pies</t>
  </si>
  <si>
    <t xml:space="preserve"> L327263</t>
  </si>
  <si>
    <t>KMFGA17BPE240403</t>
  </si>
  <si>
    <t>HD-78</t>
  </si>
  <si>
    <t>PYL</t>
  </si>
  <si>
    <t>D4DBD550642</t>
  </si>
  <si>
    <t>CA-07</t>
  </si>
  <si>
    <t>L429702</t>
  </si>
  <si>
    <t>KMFGA17BPMC346959</t>
  </si>
  <si>
    <t>CA-08</t>
  </si>
  <si>
    <t>L429686</t>
  </si>
  <si>
    <t>KMFGA17BPMC344927</t>
  </si>
  <si>
    <t>Cola</t>
  </si>
  <si>
    <t>CA-3.3</t>
  </si>
  <si>
    <t>REMOLQUE 40´</t>
  </si>
  <si>
    <t>TRANS CRAFT</t>
  </si>
  <si>
    <t>40 pies</t>
  </si>
  <si>
    <t>NEGRO</t>
  </si>
  <si>
    <t>F011725</t>
  </si>
  <si>
    <t>TC13226</t>
  </si>
  <si>
    <t>FLATBED</t>
  </si>
  <si>
    <t>CA-09</t>
  </si>
  <si>
    <t>Camión  Hyundai</t>
  </si>
  <si>
    <t>BLANCO</t>
  </si>
  <si>
    <t xml:space="preserve">L337617 </t>
  </si>
  <si>
    <t>KMFGA17BPEC240409</t>
  </si>
  <si>
    <t>Bavaro</t>
  </si>
  <si>
    <t>D4DBD550953</t>
  </si>
  <si>
    <t>CA-10</t>
  </si>
  <si>
    <t>Kia</t>
  </si>
  <si>
    <t>9 pies</t>
  </si>
  <si>
    <t>L359188</t>
  </si>
  <si>
    <t>KNCSHX71AG7036004</t>
  </si>
  <si>
    <t xml:space="preserve">K2700 </t>
  </si>
  <si>
    <t>Posto Desing</t>
  </si>
  <si>
    <t>J2 741749</t>
  </si>
  <si>
    <t>CA-11</t>
  </si>
  <si>
    <t>Kia Taller de Fenolicos</t>
  </si>
  <si>
    <t>L405353</t>
  </si>
  <si>
    <t>KNCSH71CL7380530</t>
  </si>
  <si>
    <t>K2700 4WD</t>
  </si>
  <si>
    <t>Taller Fenolicos</t>
  </si>
  <si>
    <t>J2 815713</t>
  </si>
  <si>
    <t>CA-14</t>
  </si>
  <si>
    <t>14 pies</t>
  </si>
  <si>
    <t>ROJO</t>
  </si>
  <si>
    <t>L310640</t>
  </si>
  <si>
    <t>KMFGA17CPBC148045</t>
  </si>
  <si>
    <t>HD65</t>
  </si>
  <si>
    <t>D4DCA437652</t>
  </si>
  <si>
    <t>CA-13</t>
  </si>
  <si>
    <t>JAC</t>
  </si>
  <si>
    <t>9.5 pies</t>
  </si>
  <si>
    <t>L407446</t>
  </si>
  <si>
    <t>LJ11KAAC5L1300897</t>
  </si>
  <si>
    <t>X-200</t>
  </si>
  <si>
    <t>K4010250</t>
  </si>
  <si>
    <t>CA-12</t>
  </si>
  <si>
    <t xml:space="preserve">Mitsubishi </t>
  </si>
  <si>
    <t>L390743</t>
  </si>
  <si>
    <t>FE85CGA60034</t>
  </si>
  <si>
    <t>CANTER</t>
  </si>
  <si>
    <t xml:space="preserve">Santiago </t>
  </si>
  <si>
    <t>CA-21</t>
  </si>
  <si>
    <t>KMFGA17BPPC364347</t>
  </si>
  <si>
    <t>CA-20</t>
  </si>
  <si>
    <t>KMFGA17BPPC364349</t>
  </si>
  <si>
    <t>Montacargas</t>
  </si>
  <si>
    <t>MC-01</t>
  </si>
  <si>
    <t>MONTACARGAS HYSTER</t>
  </si>
  <si>
    <t>Hyster</t>
  </si>
  <si>
    <t xml:space="preserve">
7.2X3.95 pies</t>
  </si>
  <si>
    <t>AMARILLO</t>
  </si>
  <si>
    <t>34 KW</t>
  </si>
  <si>
    <t>D466R04587R</t>
  </si>
  <si>
    <t>H3.0XT</t>
  </si>
  <si>
    <t>GLP</t>
  </si>
  <si>
    <t>Almacen</t>
  </si>
  <si>
    <t>MC-02</t>
  </si>
  <si>
    <t>D466R03353P</t>
  </si>
  <si>
    <t>MC-03</t>
  </si>
  <si>
    <t xml:space="preserve">Montacargas Hyster </t>
  </si>
  <si>
    <t>B466R06207F</t>
  </si>
  <si>
    <t>Servicielos</t>
  </si>
  <si>
    <t>MC-04</t>
  </si>
  <si>
    <t>Montacargas Teledyne Princenton</t>
  </si>
  <si>
    <t>Princenton</t>
  </si>
  <si>
    <t xml:space="preserve">
7.2X5 pies</t>
  </si>
  <si>
    <t>Azúl</t>
  </si>
  <si>
    <t>U010112</t>
  </si>
  <si>
    <t>PB50</t>
  </si>
  <si>
    <t>MC-05</t>
  </si>
  <si>
    <t>Montacargas UTILEV</t>
  </si>
  <si>
    <t xml:space="preserve">Nissan </t>
  </si>
  <si>
    <t xml:space="preserve">
6X3.85 pies</t>
  </si>
  <si>
    <t>AZUL</t>
  </si>
  <si>
    <t>32.8 KW</t>
  </si>
  <si>
    <t>A281J01905K</t>
  </si>
  <si>
    <t>UT15-18P</t>
  </si>
  <si>
    <t>MC-06</t>
  </si>
  <si>
    <t>H3.0</t>
  </si>
  <si>
    <t>D466R11073U</t>
  </si>
  <si>
    <t>MC-07</t>
  </si>
  <si>
    <t xml:space="preserve">Montacargas KOMATSU </t>
  </si>
  <si>
    <t>Komatsu</t>
  </si>
  <si>
    <t xml:space="preserve">
7.2X4 pies</t>
  </si>
  <si>
    <t>naranja</t>
  </si>
  <si>
    <t>102494A</t>
  </si>
  <si>
    <t>FG45T2-7</t>
  </si>
  <si>
    <t>MC-08</t>
  </si>
  <si>
    <t>Zona oriental</t>
  </si>
  <si>
    <t>MC-09</t>
  </si>
  <si>
    <t>D466R09845U</t>
  </si>
  <si>
    <t xml:space="preserve">SANTIAGO </t>
  </si>
  <si>
    <t>MC-10</t>
  </si>
  <si>
    <t>D466R11045U</t>
  </si>
  <si>
    <t>MC-11</t>
  </si>
  <si>
    <t>MONTACARGAS TOYOTA</t>
  </si>
  <si>
    <t>TOYOTA</t>
  </si>
  <si>
    <t xml:space="preserve">NARANJA </t>
  </si>
  <si>
    <t>8FGU30</t>
  </si>
  <si>
    <t>MC-13</t>
  </si>
  <si>
    <t>MONTACARGAS MOFFET</t>
  </si>
  <si>
    <t>MOFFET</t>
  </si>
  <si>
    <t>J001279</t>
  </si>
  <si>
    <t>A28261</t>
  </si>
  <si>
    <t>M5000</t>
  </si>
  <si>
    <t>MC-14</t>
  </si>
  <si>
    <t>D466R14171W</t>
  </si>
  <si>
    <t>Principal</t>
  </si>
  <si>
    <t>MC-15</t>
  </si>
  <si>
    <t>D466R14169W</t>
  </si>
  <si>
    <t>MC-16</t>
  </si>
  <si>
    <t>A380V15217X</t>
  </si>
  <si>
    <t>MC-17</t>
  </si>
  <si>
    <t>MONTACARGAS CLARK</t>
  </si>
  <si>
    <t>CLARK</t>
  </si>
  <si>
    <t>7.2X4 pies</t>
  </si>
  <si>
    <t>Verde</t>
  </si>
  <si>
    <t>LP</t>
  </si>
  <si>
    <t>P135L-0218-9980 CNF</t>
  </si>
  <si>
    <t>C50s</t>
  </si>
  <si>
    <t>Telehandler</t>
  </si>
  <si>
    <t>TL-01</t>
  </si>
  <si>
    <t>MONTACARGAS TELESCOPICO</t>
  </si>
  <si>
    <t>GENIE</t>
  </si>
  <si>
    <t>GTH1915E-19774</t>
  </si>
  <si>
    <t>GTH-1056</t>
  </si>
  <si>
    <t>Moonpalace</t>
  </si>
  <si>
    <t>Perkin</t>
  </si>
  <si>
    <t>Furgon</t>
  </si>
  <si>
    <t>FG-20-01</t>
  </si>
  <si>
    <t>FURGON MONTADO EN CHASIS CH-01</t>
  </si>
  <si>
    <t>TRITON</t>
  </si>
  <si>
    <t>20 pies</t>
  </si>
  <si>
    <t>Dionelis</t>
  </si>
  <si>
    <t>Pantoja- Servicielos</t>
  </si>
  <si>
    <t>Proyectos</t>
  </si>
  <si>
    <t>FG-20-02</t>
  </si>
  <si>
    <t>FURGON MONTADO EN CHASIS CH-02</t>
  </si>
  <si>
    <t>scarlet</t>
  </si>
  <si>
    <t>007863 3</t>
  </si>
  <si>
    <t>Proyecto Moon palace oficina</t>
  </si>
  <si>
    <t xml:space="preserve">Furgon </t>
  </si>
  <si>
    <t>FG-20-03</t>
  </si>
  <si>
    <t>FURGON MONTADO EN CHASIS CH-03</t>
  </si>
  <si>
    <t>Daniris</t>
  </si>
  <si>
    <t>proyecto Libera almacen Santiago</t>
  </si>
  <si>
    <t>FG-20-04</t>
  </si>
  <si>
    <t>FURGON SIN CHASIS</t>
  </si>
  <si>
    <t>Proyecto NC-12 oficina Miches</t>
  </si>
  <si>
    <t>FG-40-05</t>
  </si>
  <si>
    <t>FURGON MONTADO EN CHASIS CH-04</t>
  </si>
  <si>
    <t>THRU 889829</t>
  </si>
  <si>
    <t>Proyecto NC-12 almacen Miches</t>
  </si>
  <si>
    <t>FG-40-06</t>
  </si>
  <si>
    <t>Jenifer</t>
  </si>
  <si>
    <t>ECMU 9508073</t>
  </si>
  <si>
    <t>FG-20-07</t>
  </si>
  <si>
    <t>Proyecto Moon palace almacen</t>
  </si>
  <si>
    <t>FG-20-08</t>
  </si>
  <si>
    <t>1NNC045261M336830</t>
  </si>
  <si>
    <t>Proyecto Moon palace  almacen</t>
  </si>
  <si>
    <t>FG-40-10</t>
  </si>
  <si>
    <t>Chasis</t>
  </si>
  <si>
    <t>CH-01</t>
  </si>
  <si>
    <t xml:space="preserve">CHASIS </t>
  </si>
  <si>
    <t>FB-2622</t>
  </si>
  <si>
    <t>CH-02</t>
  </si>
  <si>
    <t>Proyecto Moon palace Miches oficina</t>
  </si>
  <si>
    <t>CH-03</t>
  </si>
  <si>
    <t>CH-04</t>
  </si>
  <si>
    <t xml:space="preserve">Equipos Vendidos </t>
  </si>
  <si>
    <t>CA-2.2</t>
  </si>
  <si>
    <t>REMOLQUE 45´</t>
  </si>
  <si>
    <t>FONTAINE</t>
  </si>
  <si>
    <t>F003383</t>
  </si>
  <si>
    <t>13N145300W1580348</t>
  </si>
  <si>
    <t>TRAILER</t>
  </si>
  <si>
    <t>CA-1.1</t>
  </si>
  <si>
    <t>RODGER</t>
  </si>
  <si>
    <t>45 pies</t>
  </si>
  <si>
    <t>F006695</t>
  </si>
  <si>
    <t>J64234</t>
  </si>
  <si>
    <t>V-21</t>
  </si>
  <si>
    <t>Camion cama larga</t>
  </si>
  <si>
    <t>CA-17</t>
  </si>
  <si>
    <t>L332723</t>
  </si>
  <si>
    <t>KMFLA19RPEC080765</t>
  </si>
  <si>
    <t>HD-120</t>
  </si>
  <si>
    <t>8.5  TON</t>
  </si>
  <si>
    <t>D6BRD079924</t>
  </si>
  <si>
    <t>CA-04</t>
  </si>
  <si>
    <t>MACK Camión   Rigido</t>
  </si>
  <si>
    <t xml:space="preserve"> Blanco</t>
  </si>
  <si>
    <t>L255783</t>
  </si>
  <si>
    <t>1M1AA18Y83W152224</t>
  </si>
  <si>
    <t>CH-613</t>
  </si>
  <si>
    <t>Patana</t>
  </si>
  <si>
    <t>CA-03</t>
  </si>
  <si>
    <t>Freighliner Clasico</t>
  </si>
  <si>
    <t>FREIGHTLINER</t>
  </si>
  <si>
    <t>Azul</t>
  </si>
  <si>
    <t>L316034</t>
  </si>
  <si>
    <t>1FUPDWEB5YDF54702</t>
  </si>
  <si>
    <t>FLD12064T</t>
  </si>
  <si>
    <t>CA-02</t>
  </si>
  <si>
    <t xml:space="preserve">Freighliner </t>
  </si>
  <si>
    <t>Rojo</t>
  </si>
  <si>
    <t>L348730</t>
  </si>
  <si>
    <t>1FUJBBCK47LV79695</t>
  </si>
  <si>
    <t>ST120</t>
  </si>
  <si>
    <t>Camion ligero</t>
  </si>
  <si>
    <t>Dahihatsu</t>
  </si>
  <si>
    <t>Montacargas NISSAN</t>
  </si>
  <si>
    <t>Nissan</t>
  </si>
  <si>
    <t>50K</t>
  </si>
  <si>
    <t>Montacargas toyota</t>
  </si>
  <si>
    <t>Toyota</t>
  </si>
  <si>
    <t>MC-12</t>
  </si>
  <si>
    <t>8x4 pies</t>
  </si>
  <si>
    <t>H120FT</t>
  </si>
  <si>
    <t>S00V04263M</t>
  </si>
  <si>
    <t>FG-40-11</t>
  </si>
  <si>
    <t>Proyecto almacen Circunvalacion Cielos Acusticos Oficina</t>
  </si>
  <si>
    <t>MC-18</t>
  </si>
  <si>
    <t>H60XT</t>
  </si>
  <si>
    <t>A380V14895X</t>
  </si>
  <si>
    <t>Miches</t>
  </si>
  <si>
    <t>PYL decoraciones</t>
  </si>
  <si>
    <t>pantoja</t>
  </si>
  <si>
    <t>Pantoja- km 13 almacen rentado</t>
  </si>
  <si>
    <t>L496747</t>
  </si>
  <si>
    <t>L498974</t>
  </si>
  <si>
    <t>Posto Design</t>
  </si>
  <si>
    <t>JAC  Blanco</t>
  </si>
  <si>
    <t>KIA taller Posto Design</t>
  </si>
  <si>
    <t xml:space="preserve">Mack Pinnacle </t>
  </si>
  <si>
    <t xml:space="preserve">de AILA a Almacen Robertico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</si>
</sst>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8" fillId="5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7" fillId="4" borderId="7" xfId="0" applyFont="1" applyFill="1" applyBorder="1"/>
    <xf numFmtId="0" fontId="0" fillId="4" borderId="7" xfId="0" applyFill="1" applyBorder="1"/>
    <xf numFmtId="0" fontId="3" fillId="3" borderId="0" xfId="0" applyFont="1" applyFill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0" fontId="0" fillId="7" borderId="1" xfId="0" applyFill="1" applyBorder="1"/>
    <xf numFmtId="0" fontId="0" fillId="7" borderId="0" xfId="0" applyFill="1"/>
    <xf numFmtId="0" fontId="6" fillId="2" borderId="1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6B11-7E4D-4721-BBBE-49CACBB095FF}">
  <sheetPr>
    <pageSetUpPr fitToPage="1"/>
  </sheetPr>
  <dimension ref="A1:Q63"/>
  <sheetViews>
    <sheetView tabSelected="1" workbookViewId="0">
      <pane ySplit="1" topLeftCell="A16" activePane="bottomLeft" state="frozen"/>
      <selection activeCell="I1" sqref="I1"/>
      <selection pane="bottomLeft" activeCell="K24" sqref="K24"/>
    </sheetView>
  </sheetViews>
  <sheetFormatPr baseColWidth="10" defaultColWidth="9.140625" defaultRowHeight="15" x14ac:dyDescent="0.25"/>
  <cols>
    <col min="1" max="1" width="24.28515625" customWidth="1"/>
    <col min="2" max="2" width="10.140625" bestFit="1" customWidth="1"/>
    <col min="3" max="3" width="31.5703125" bestFit="1" customWidth="1"/>
    <col min="4" max="4" width="12.85546875" bestFit="1" customWidth="1"/>
    <col min="5" max="5" width="12.85546875" customWidth="1"/>
    <col min="6" max="6" width="9.140625" bestFit="1" customWidth="1"/>
    <col min="7" max="7" width="10.7109375" bestFit="1" customWidth="1"/>
    <col min="8" max="8" width="14" bestFit="1" customWidth="1"/>
    <col min="9" max="9" width="22.140625" customWidth="1"/>
    <col min="10" max="10" width="12.5703125" bestFit="1" customWidth="1"/>
    <col min="11" max="11" width="24.7109375" customWidth="1"/>
    <col min="12" max="12" width="14.7109375" bestFit="1" customWidth="1"/>
    <col min="13" max="13" width="14.7109375" customWidth="1"/>
    <col min="14" max="14" width="17.5703125" bestFit="1" customWidth="1"/>
    <col min="15" max="15" width="16.85546875" bestFit="1" customWidth="1"/>
    <col min="16" max="16" width="13" bestFit="1" customWidth="1"/>
    <col min="17" max="17" width="14.140625" bestFit="1" customWidth="1"/>
    <col min="18" max="16384" width="9.140625" style="4"/>
  </cols>
  <sheetData>
    <row r="1" spans="1:17" ht="3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1" t="s">
        <v>11</v>
      </c>
      <c r="M1" s="37" t="s">
        <v>12</v>
      </c>
      <c r="N1" s="5" t="s">
        <v>13</v>
      </c>
      <c r="O1" s="5" t="s">
        <v>14</v>
      </c>
      <c r="P1" s="6" t="s">
        <v>15</v>
      </c>
      <c r="Q1" s="6" t="s">
        <v>16</v>
      </c>
    </row>
    <row r="2" spans="1:17" ht="18.75" x14ac:dyDescent="0.25">
      <c r="A2" s="7" t="s">
        <v>17</v>
      </c>
      <c r="B2" s="2" t="s">
        <v>18</v>
      </c>
      <c r="C2" s="2" t="s">
        <v>297</v>
      </c>
      <c r="D2" s="2" t="s">
        <v>19</v>
      </c>
      <c r="E2" s="2" t="s">
        <v>20</v>
      </c>
      <c r="F2" s="2">
        <v>2010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12">
        <v>54600</v>
      </c>
      <c r="M2" s="2">
        <f>+L2*0.8</f>
        <v>43680</v>
      </c>
      <c r="N2" s="2">
        <v>9890</v>
      </c>
      <c r="O2" s="2" t="s">
        <v>26</v>
      </c>
      <c r="P2" s="8">
        <v>5.62</v>
      </c>
      <c r="Q2" s="8" t="s">
        <v>27</v>
      </c>
    </row>
    <row r="3" spans="1:17" ht="18.75" x14ac:dyDescent="0.25">
      <c r="A3" s="7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>
        <v>2014</v>
      </c>
      <c r="G3" s="2" t="s">
        <v>21</v>
      </c>
      <c r="H3" s="2" t="s">
        <v>33</v>
      </c>
      <c r="I3" s="2" t="s">
        <v>34</v>
      </c>
      <c r="J3" s="2" t="s">
        <v>35</v>
      </c>
      <c r="K3" s="2" t="s">
        <v>25</v>
      </c>
      <c r="L3" s="12">
        <v>39681</v>
      </c>
      <c r="M3" s="2">
        <f>+L3*0.85</f>
        <v>33728.85</v>
      </c>
      <c r="N3" s="2">
        <v>4705</v>
      </c>
      <c r="O3" s="2" t="s">
        <v>26</v>
      </c>
      <c r="P3" s="8">
        <v>7</v>
      </c>
      <c r="Q3" s="8" t="s">
        <v>27</v>
      </c>
    </row>
    <row r="4" spans="1:17" ht="15.75" x14ac:dyDescent="0.25">
      <c r="A4" s="9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>
        <v>2014</v>
      </c>
      <c r="G4" s="2" t="s">
        <v>21</v>
      </c>
      <c r="H4" s="2" t="s">
        <v>41</v>
      </c>
      <c r="I4" s="2" t="s">
        <v>42</v>
      </c>
      <c r="J4" s="2" t="s">
        <v>43</v>
      </c>
      <c r="K4" s="2" t="s">
        <v>44</v>
      </c>
      <c r="L4" s="12">
        <v>15400</v>
      </c>
      <c r="M4" s="2">
        <f t="shared" ref="M4:M27" si="0">+L4*0.8</f>
        <v>12320</v>
      </c>
      <c r="N4" s="2" t="s">
        <v>45</v>
      </c>
      <c r="O4" s="2" t="s">
        <v>26</v>
      </c>
      <c r="P4" s="8">
        <v>22</v>
      </c>
      <c r="Q4" s="8" t="s">
        <v>27</v>
      </c>
    </row>
    <row r="5" spans="1:17" ht="15.75" x14ac:dyDescent="0.25">
      <c r="A5" s="9" t="s">
        <v>36</v>
      </c>
      <c r="B5" s="2" t="s">
        <v>46</v>
      </c>
      <c r="C5" s="2" t="s">
        <v>38</v>
      </c>
      <c r="D5" s="2" t="s">
        <v>39</v>
      </c>
      <c r="E5" s="2" t="s">
        <v>40</v>
      </c>
      <c r="F5" s="2">
        <v>2021</v>
      </c>
      <c r="G5" s="2" t="s">
        <v>21</v>
      </c>
      <c r="H5" s="2" t="s">
        <v>47</v>
      </c>
      <c r="I5" s="2" t="s">
        <v>48</v>
      </c>
      <c r="J5" s="2" t="s">
        <v>43</v>
      </c>
      <c r="K5" s="2" t="s">
        <v>25</v>
      </c>
      <c r="L5" s="12">
        <v>15400</v>
      </c>
      <c r="M5" s="2">
        <f t="shared" si="0"/>
        <v>12320</v>
      </c>
      <c r="N5" s="2"/>
      <c r="O5" s="2" t="s">
        <v>26</v>
      </c>
      <c r="P5" s="8">
        <v>22</v>
      </c>
      <c r="Q5" s="8" t="s">
        <v>27</v>
      </c>
    </row>
    <row r="6" spans="1:17" ht="15.75" x14ac:dyDescent="0.25">
      <c r="A6" s="9" t="s">
        <v>36</v>
      </c>
      <c r="B6" s="2" t="s">
        <v>49</v>
      </c>
      <c r="C6" s="2" t="s">
        <v>38</v>
      </c>
      <c r="D6" s="2" t="s">
        <v>39</v>
      </c>
      <c r="E6" s="2" t="s">
        <v>40</v>
      </c>
      <c r="F6" s="2">
        <v>2021</v>
      </c>
      <c r="G6" s="2" t="s">
        <v>21</v>
      </c>
      <c r="H6" s="2" t="s">
        <v>50</v>
      </c>
      <c r="I6" s="2" t="s">
        <v>51</v>
      </c>
      <c r="J6" s="2" t="s">
        <v>43</v>
      </c>
      <c r="K6" s="2" t="s">
        <v>25</v>
      </c>
      <c r="L6" s="12">
        <v>15400</v>
      </c>
      <c r="M6" s="2">
        <f t="shared" si="0"/>
        <v>12320</v>
      </c>
      <c r="N6" s="2"/>
      <c r="O6" s="2" t="s">
        <v>26</v>
      </c>
      <c r="P6" s="8">
        <v>22</v>
      </c>
      <c r="Q6" s="8" t="s">
        <v>27</v>
      </c>
    </row>
    <row r="7" spans="1:17" ht="18.75" x14ac:dyDescent="0.25">
      <c r="A7" s="7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>
        <v>1979</v>
      </c>
      <c r="G7" s="2" t="s">
        <v>57</v>
      </c>
      <c r="H7" s="2" t="s">
        <v>58</v>
      </c>
      <c r="I7" s="2" t="s">
        <v>59</v>
      </c>
      <c r="J7" s="2" t="s">
        <v>60</v>
      </c>
      <c r="K7" s="2" t="s">
        <v>25</v>
      </c>
      <c r="L7" s="12">
        <v>64042</v>
      </c>
      <c r="M7" s="2">
        <f t="shared" si="0"/>
        <v>51233.600000000006</v>
      </c>
      <c r="N7" s="2" t="s">
        <v>59</v>
      </c>
      <c r="O7" s="2"/>
      <c r="P7" s="8"/>
      <c r="Q7" s="8" t="s">
        <v>27</v>
      </c>
    </row>
    <row r="8" spans="1:17" ht="15.75" x14ac:dyDescent="0.25">
      <c r="A8" s="9" t="s">
        <v>36</v>
      </c>
      <c r="B8" s="2" t="s">
        <v>61</v>
      </c>
      <c r="C8" s="2" t="s">
        <v>62</v>
      </c>
      <c r="D8" s="2" t="s">
        <v>39</v>
      </c>
      <c r="E8" s="2" t="s">
        <v>40</v>
      </c>
      <c r="F8" s="2">
        <v>2014</v>
      </c>
      <c r="G8" s="2" t="s">
        <v>63</v>
      </c>
      <c r="H8" s="2" t="s">
        <v>64</v>
      </c>
      <c r="I8" s="2" t="s">
        <v>65</v>
      </c>
      <c r="J8" s="2" t="s">
        <v>43</v>
      </c>
      <c r="K8" s="2" t="s">
        <v>288</v>
      </c>
      <c r="L8" s="12">
        <v>15400</v>
      </c>
      <c r="M8" s="2">
        <f t="shared" si="0"/>
        <v>12320</v>
      </c>
      <c r="N8" s="2" t="s">
        <v>67</v>
      </c>
      <c r="O8" s="2" t="s">
        <v>26</v>
      </c>
      <c r="P8" s="8">
        <v>22</v>
      </c>
      <c r="Q8" s="8" t="s">
        <v>27</v>
      </c>
    </row>
    <row r="9" spans="1:17" ht="15.75" x14ac:dyDescent="0.25">
      <c r="A9" s="9" t="s">
        <v>36</v>
      </c>
      <c r="B9" s="2" t="s">
        <v>68</v>
      </c>
      <c r="C9" s="2" t="s">
        <v>296</v>
      </c>
      <c r="D9" s="2" t="s">
        <v>69</v>
      </c>
      <c r="E9" s="2" t="s">
        <v>70</v>
      </c>
      <c r="F9" s="2">
        <v>2016</v>
      </c>
      <c r="G9" s="2" t="s">
        <v>63</v>
      </c>
      <c r="H9" s="2" t="s">
        <v>71</v>
      </c>
      <c r="I9" s="2" t="s">
        <v>72</v>
      </c>
      <c r="J9" s="2" t="s">
        <v>73</v>
      </c>
      <c r="K9" s="2" t="s">
        <v>294</v>
      </c>
      <c r="L9" s="12">
        <v>3300</v>
      </c>
      <c r="M9" s="2">
        <f t="shared" si="0"/>
        <v>2640</v>
      </c>
      <c r="N9" s="2" t="s">
        <v>75</v>
      </c>
      <c r="O9" s="2" t="s">
        <v>26</v>
      </c>
      <c r="P9" s="8">
        <v>22</v>
      </c>
      <c r="Q9" s="8" t="s">
        <v>27</v>
      </c>
    </row>
    <row r="10" spans="1:17" ht="15.75" x14ac:dyDescent="0.25">
      <c r="A10" s="9" t="s">
        <v>36</v>
      </c>
      <c r="B10" s="2" t="s">
        <v>76</v>
      </c>
      <c r="C10" s="2" t="s">
        <v>77</v>
      </c>
      <c r="D10" s="2" t="s">
        <v>69</v>
      </c>
      <c r="E10" s="2" t="s">
        <v>70</v>
      </c>
      <c r="F10" s="2">
        <v>2020</v>
      </c>
      <c r="G10" s="2" t="s">
        <v>63</v>
      </c>
      <c r="H10" s="2" t="s">
        <v>78</v>
      </c>
      <c r="I10" s="2" t="s">
        <v>79</v>
      </c>
      <c r="J10" s="2" t="s">
        <v>80</v>
      </c>
      <c r="K10" s="2" t="s">
        <v>81</v>
      </c>
      <c r="L10" s="12">
        <v>3300</v>
      </c>
      <c r="M10" s="2">
        <f t="shared" si="0"/>
        <v>2640</v>
      </c>
      <c r="N10" s="2" t="s">
        <v>82</v>
      </c>
      <c r="O10" s="2" t="s">
        <v>26</v>
      </c>
      <c r="P10" s="8">
        <v>22</v>
      </c>
      <c r="Q10" s="8" t="s">
        <v>27</v>
      </c>
    </row>
    <row r="11" spans="1:17" ht="15.75" x14ac:dyDescent="0.25">
      <c r="A11" s="9" t="s">
        <v>36</v>
      </c>
      <c r="B11" s="2" t="s">
        <v>83</v>
      </c>
      <c r="C11" s="2" t="s">
        <v>38</v>
      </c>
      <c r="D11" s="2" t="s">
        <v>39</v>
      </c>
      <c r="E11" s="2" t="s">
        <v>84</v>
      </c>
      <c r="F11" s="2">
        <v>2011</v>
      </c>
      <c r="G11" s="2" t="s">
        <v>85</v>
      </c>
      <c r="H11" s="2" t="s">
        <v>86</v>
      </c>
      <c r="I11" s="2" t="s">
        <v>87</v>
      </c>
      <c r="J11" s="2" t="s">
        <v>88</v>
      </c>
      <c r="K11" s="2" t="s">
        <v>288</v>
      </c>
      <c r="L11" s="12">
        <v>15400</v>
      </c>
      <c r="M11" s="2">
        <f t="shared" si="0"/>
        <v>12320</v>
      </c>
      <c r="N11" s="2" t="s">
        <v>89</v>
      </c>
      <c r="O11" s="2" t="s">
        <v>26</v>
      </c>
      <c r="P11" s="8">
        <v>22</v>
      </c>
      <c r="Q11" s="8" t="s">
        <v>27</v>
      </c>
    </row>
    <row r="12" spans="1:17" ht="15.75" x14ac:dyDescent="0.25">
      <c r="A12" s="9" t="s">
        <v>36</v>
      </c>
      <c r="B12" s="2" t="s">
        <v>90</v>
      </c>
      <c r="C12" s="2" t="s">
        <v>295</v>
      </c>
      <c r="D12" s="2" t="s">
        <v>91</v>
      </c>
      <c r="E12" s="2" t="s">
        <v>92</v>
      </c>
      <c r="F12" s="2">
        <v>2020</v>
      </c>
      <c r="G12" s="2" t="s">
        <v>63</v>
      </c>
      <c r="H12" s="2" t="s">
        <v>93</v>
      </c>
      <c r="I12" s="2" t="s">
        <v>94</v>
      </c>
      <c r="J12" s="2" t="s">
        <v>95</v>
      </c>
      <c r="K12" s="2" t="s">
        <v>74</v>
      </c>
      <c r="L12" s="12">
        <v>4400</v>
      </c>
      <c r="M12" s="2">
        <f t="shared" si="0"/>
        <v>3520</v>
      </c>
      <c r="N12" s="2" t="s">
        <v>96</v>
      </c>
      <c r="O12" s="2" t="s">
        <v>26</v>
      </c>
      <c r="P12" s="8">
        <v>22</v>
      </c>
      <c r="Q12" s="8" t="s">
        <v>27</v>
      </c>
    </row>
    <row r="13" spans="1:17" ht="15.75" x14ac:dyDescent="0.25">
      <c r="A13" s="9" t="s">
        <v>36</v>
      </c>
      <c r="B13" s="2" t="s">
        <v>97</v>
      </c>
      <c r="C13" s="2" t="s">
        <v>98</v>
      </c>
      <c r="D13" s="2" t="s">
        <v>98</v>
      </c>
      <c r="E13" s="2" t="s">
        <v>40</v>
      </c>
      <c r="F13" s="1">
        <v>2019</v>
      </c>
      <c r="G13" s="2" t="s">
        <v>21</v>
      </c>
      <c r="H13" s="1" t="s">
        <v>99</v>
      </c>
      <c r="I13" s="2" t="s">
        <v>100</v>
      </c>
      <c r="J13" s="2" t="s">
        <v>101</v>
      </c>
      <c r="K13" s="2" t="s">
        <v>102</v>
      </c>
      <c r="L13" s="12">
        <v>15400</v>
      </c>
      <c r="M13" s="2">
        <f t="shared" si="0"/>
        <v>12320</v>
      </c>
      <c r="N13" s="2"/>
      <c r="O13" s="2" t="s">
        <v>26</v>
      </c>
      <c r="P13" s="8">
        <v>22</v>
      </c>
      <c r="Q13" s="8" t="s">
        <v>27</v>
      </c>
    </row>
    <row r="14" spans="1:17" ht="15.75" x14ac:dyDescent="0.25">
      <c r="A14" s="9" t="s">
        <v>36</v>
      </c>
      <c r="B14" s="2" t="s">
        <v>105</v>
      </c>
      <c r="C14" s="2" t="s">
        <v>38</v>
      </c>
      <c r="D14" s="2" t="s">
        <v>39</v>
      </c>
      <c r="E14" s="2" t="s">
        <v>40</v>
      </c>
      <c r="F14" s="1">
        <v>2023</v>
      </c>
      <c r="G14" s="2" t="s">
        <v>21</v>
      </c>
      <c r="H14" s="1" t="s">
        <v>293</v>
      </c>
      <c r="I14" s="2" t="s">
        <v>106</v>
      </c>
      <c r="J14" s="2" t="s">
        <v>43</v>
      </c>
      <c r="K14" s="2" t="s">
        <v>66</v>
      </c>
      <c r="L14" s="12">
        <v>15400</v>
      </c>
      <c r="M14" s="2">
        <f t="shared" ref="M14" si="1">+L14*0.8</f>
        <v>12320</v>
      </c>
      <c r="N14" s="2"/>
      <c r="O14" s="2" t="s">
        <v>26</v>
      </c>
      <c r="P14" s="8">
        <v>22</v>
      </c>
      <c r="Q14" s="8" t="s">
        <v>27</v>
      </c>
    </row>
    <row r="15" spans="1:17" ht="15.75" x14ac:dyDescent="0.25">
      <c r="A15" s="9" t="s">
        <v>36</v>
      </c>
      <c r="B15" s="2" t="s">
        <v>103</v>
      </c>
      <c r="C15" s="2" t="s">
        <v>38</v>
      </c>
      <c r="D15" s="2" t="s">
        <v>39</v>
      </c>
      <c r="E15" s="2" t="s">
        <v>40</v>
      </c>
      <c r="F15" s="1">
        <v>2023</v>
      </c>
      <c r="G15" s="2" t="s">
        <v>21</v>
      </c>
      <c r="H15" s="1" t="s">
        <v>292</v>
      </c>
      <c r="I15" s="2" t="s">
        <v>104</v>
      </c>
      <c r="J15" s="2" t="s">
        <v>43</v>
      </c>
      <c r="K15" s="2" t="s">
        <v>25</v>
      </c>
      <c r="L15" s="12">
        <v>15400</v>
      </c>
      <c r="M15" s="2">
        <f t="shared" ref="M15" si="2">+L15*0.8</f>
        <v>12320</v>
      </c>
      <c r="N15" s="2"/>
      <c r="O15" s="2" t="s">
        <v>26</v>
      </c>
      <c r="P15" s="8">
        <v>22</v>
      </c>
      <c r="Q15" s="8" t="s">
        <v>27</v>
      </c>
    </row>
    <row r="16" spans="1:17" ht="30" x14ac:dyDescent="0.25">
      <c r="A16" s="7" t="s">
        <v>107</v>
      </c>
      <c r="B16" s="2" t="s">
        <v>108</v>
      </c>
      <c r="C16" s="2" t="s">
        <v>109</v>
      </c>
      <c r="D16" s="2" t="s">
        <v>110</v>
      </c>
      <c r="E16" s="18" t="s">
        <v>111</v>
      </c>
      <c r="F16" s="2">
        <v>2017</v>
      </c>
      <c r="G16" s="2" t="s">
        <v>112</v>
      </c>
      <c r="H16" s="2" t="s">
        <v>113</v>
      </c>
      <c r="I16" s="2" t="s">
        <v>114</v>
      </c>
      <c r="J16" s="2" t="s">
        <v>115</v>
      </c>
      <c r="K16" s="2" t="s">
        <v>25</v>
      </c>
      <c r="L16" s="12">
        <v>6050</v>
      </c>
      <c r="M16" s="2">
        <f t="shared" si="0"/>
        <v>4840</v>
      </c>
      <c r="N16" s="2" t="s">
        <v>114</v>
      </c>
      <c r="O16" s="2" t="s">
        <v>116</v>
      </c>
      <c r="P16" s="8">
        <v>33</v>
      </c>
      <c r="Q16" s="8" t="s">
        <v>117</v>
      </c>
    </row>
    <row r="17" spans="1:17" ht="30" x14ac:dyDescent="0.25">
      <c r="A17" s="7" t="s">
        <v>107</v>
      </c>
      <c r="B17" s="2" t="s">
        <v>118</v>
      </c>
      <c r="C17" s="2" t="s">
        <v>109</v>
      </c>
      <c r="D17" s="2" t="s">
        <v>110</v>
      </c>
      <c r="E17" s="18" t="s">
        <v>111</v>
      </c>
      <c r="F17" s="2">
        <v>2016</v>
      </c>
      <c r="G17" s="2" t="s">
        <v>112</v>
      </c>
      <c r="H17" s="2" t="s">
        <v>113</v>
      </c>
      <c r="I17" s="2" t="s">
        <v>119</v>
      </c>
      <c r="J17" s="2" t="s">
        <v>115</v>
      </c>
      <c r="K17" s="2" t="s">
        <v>289</v>
      </c>
      <c r="L17" s="12">
        <v>6050</v>
      </c>
      <c r="M17" s="2">
        <f t="shared" si="0"/>
        <v>4840</v>
      </c>
      <c r="N17" s="2" t="s">
        <v>119</v>
      </c>
      <c r="O17" s="2" t="s">
        <v>116</v>
      </c>
      <c r="P17" s="8">
        <v>33</v>
      </c>
      <c r="Q17" s="8" t="s">
        <v>117</v>
      </c>
    </row>
    <row r="18" spans="1:17" ht="30" x14ac:dyDescent="0.25">
      <c r="A18" s="7" t="s">
        <v>107</v>
      </c>
      <c r="B18" s="2" t="s">
        <v>120</v>
      </c>
      <c r="C18" s="2" t="s">
        <v>121</v>
      </c>
      <c r="D18" s="2" t="s">
        <v>110</v>
      </c>
      <c r="E18" s="18" t="s">
        <v>111</v>
      </c>
      <c r="F18" s="2">
        <v>2008</v>
      </c>
      <c r="G18" s="2" t="s">
        <v>112</v>
      </c>
      <c r="H18" s="2" t="s">
        <v>113</v>
      </c>
      <c r="I18" s="2" t="s">
        <v>122</v>
      </c>
      <c r="J18" s="2" t="s">
        <v>115</v>
      </c>
      <c r="K18" s="2" t="s">
        <v>25</v>
      </c>
      <c r="L18" s="12">
        <v>6050</v>
      </c>
      <c r="M18" s="2">
        <f t="shared" si="0"/>
        <v>4840</v>
      </c>
      <c r="N18" s="2" t="s">
        <v>122</v>
      </c>
      <c r="O18" s="2" t="s">
        <v>116</v>
      </c>
      <c r="P18" s="8">
        <v>33</v>
      </c>
      <c r="Q18" s="8" t="s">
        <v>117</v>
      </c>
    </row>
    <row r="19" spans="1:17" ht="30" x14ac:dyDescent="0.25">
      <c r="A19" s="7" t="s">
        <v>107</v>
      </c>
      <c r="B19" s="2" t="s">
        <v>124</v>
      </c>
      <c r="C19" s="2" t="s">
        <v>125</v>
      </c>
      <c r="D19" s="2" t="s">
        <v>126</v>
      </c>
      <c r="E19" s="18" t="s">
        <v>127</v>
      </c>
      <c r="F19" s="2">
        <v>2007</v>
      </c>
      <c r="G19" s="2" t="s">
        <v>128</v>
      </c>
      <c r="H19" s="2" t="s">
        <v>129</v>
      </c>
      <c r="I19" s="2">
        <v>109191605</v>
      </c>
      <c r="J19" s="2" t="s">
        <v>130</v>
      </c>
      <c r="K19" s="2" t="s">
        <v>25</v>
      </c>
      <c r="L19" s="12">
        <v>5000</v>
      </c>
      <c r="M19" s="2">
        <f t="shared" si="0"/>
        <v>4000</v>
      </c>
      <c r="N19" s="2">
        <v>109191605</v>
      </c>
      <c r="O19" s="2" t="s">
        <v>26</v>
      </c>
      <c r="P19" s="8">
        <v>33</v>
      </c>
      <c r="Q19" s="8" t="s">
        <v>27</v>
      </c>
    </row>
    <row r="20" spans="1:17" ht="30" x14ac:dyDescent="0.25">
      <c r="A20" s="7" t="s">
        <v>107</v>
      </c>
      <c r="B20" s="2" t="s">
        <v>131</v>
      </c>
      <c r="C20" s="2" t="s">
        <v>132</v>
      </c>
      <c r="D20" s="2" t="s">
        <v>133</v>
      </c>
      <c r="E20" s="18" t="s">
        <v>134</v>
      </c>
      <c r="F20" s="2">
        <v>2012</v>
      </c>
      <c r="G20" s="2" t="s">
        <v>135</v>
      </c>
      <c r="H20" s="10" t="s">
        <v>136</v>
      </c>
      <c r="I20" s="10" t="s">
        <v>137</v>
      </c>
      <c r="J20" s="2" t="s">
        <v>138</v>
      </c>
      <c r="K20" s="2" t="s">
        <v>25</v>
      </c>
      <c r="L20" s="12">
        <v>5500</v>
      </c>
      <c r="M20" s="2">
        <f t="shared" si="0"/>
        <v>4400</v>
      </c>
      <c r="N20" s="10" t="s">
        <v>137</v>
      </c>
      <c r="O20" s="2" t="s">
        <v>116</v>
      </c>
      <c r="P20" s="8">
        <v>33</v>
      </c>
      <c r="Q20" s="8" t="s">
        <v>117</v>
      </c>
    </row>
    <row r="21" spans="1:17" ht="30" x14ac:dyDescent="0.25">
      <c r="A21" s="7" t="s">
        <v>107</v>
      </c>
      <c r="B21" s="2" t="s">
        <v>139</v>
      </c>
      <c r="C21" s="2" t="s">
        <v>109</v>
      </c>
      <c r="D21" s="2" t="s">
        <v>110</v>
      </c>
      <c r="E21" s="18" t="s">
        <v>111</v>
      </c>
      <c r="F21" s="2">
        <v>2020</v>
      </c>
      <c r="G21" s="2" t="s">
        <v>112</v>
      </c>
      <c r="H21" s="2" t="s">
        <v>140</v>
      </c>
      <c r="I21" s="2" t="s">
        <v>141</v>
      </c>
      <c r="J21" s="2" t="s">
        <v>115</v>
      </c>
      <c r="K21" s="2" t="s">
        <v>66</v>
      </c>
      <c r="L21" s="12">
        <v>6050</v>
      </c>
      <c r="M21" s="2">
        <f t="shared" si="0"/>
        <v>4840</v>
      </c>
      <c r="N21" s="2" t="s">
        <v>141</v>
      </c>
      <c r="O21" s="2" t="s">
        <v>116</v>
      </c>
      <c r="P21" s="8">
        <v>33</v>
      </c>
      <c r="Q21" s="8" t="s">
        <v>117</v>
      </c>
    </row>
    <row r="22" spans="1:17" ht="30" x14ac:dyDescent="0.25">
      <c r="A22" s="7" t="s">
        <v>107</v>
      </c>
      <c r="B22" s="2" t="s">
        <v>142</v>
      </c>
      <c r="C22" s="2" t="s">
        <v>143</v>
      </c>
      <c r="D22" s="2" t="s">
        <v>144</v>
      </c>
      <c r="E22" s="18" t="s">
        <v>145</v>
      </c>
      <c r="F22" s="2">
        <v>2006</v>
      </c>
      <c r="G22" s="2" t="s">
        <v>146</v>
      </c>
      <c r="H22" s="2" t="s">
        <v>147</v>
      </c>
      <c r="I22" s="2" t="s">
        <v>147</v>
      </c>
      <c r="J22" s="2" t="s">
        <v>148</v>
      </c>
      <c r="K22" s="2" t="s">
        <v>123</v>
      </c>
      <c r="L22" s="12">
        <v>8525</v>
      </c>
      <c r="M22" s="2">
        <f t="shared" si="0"/>
        <v>6820</v>
      </c>
      <c r="N22" s="2" t="s">
        <v>147</v>
      </c>
      <c r="O22" s="2" t="s">
        <v>116</v>
      </c>
      <c r="P22" s="8">
        <v>33</v>
      </c>
      <c r="Q22" s="8" t="s">
        <v>117</v>
      </c>
    </row>
    <row r="23" spans="1:17" ht="30" x14ac:dyDescent="0.25">
      <c r="A23" s="7" t="s">
        <v>107</v>
      </c>
      <c r="B23" s="2" t="s">
        <v>149</v>
      </c>
      <c r="C23" s="2" t="s">
        <v>109</v>
      </c>
      <c r="D23" s="2" t="s">
        <v>110</v>
      </c>
      <c r="E23" s="18" t="s">
        <v>111</v>
      </c>
      <c r="F23" s="2">
        <v>2020</v>
      </c>
      <c r="G23" s="2" t="s">
        <v>112</v>
      </c>
      <c r="H23" s="2" t="s">
        <v>140</v>
      </c>
      <c r="I23" s="2" t="s">
        <v>141</v>
      </c>
      <c r="J23" s="2" t="s">
        <v>115</v>
      </c>
      <c r="K23" s="2" t="s">
        <v>150</v>
      </c>
      <c r="L23" s="12">
        <v>6050</v>
      </c>
      <c r="M23" s="2">
        <f t="shared" si="0"/>
        <v>4840</v>
      </c>
      <c r="N23" s="2" t="s">
        <v>141</v>
      </c>
      <c r="O23" s="2" t="s">
        <v>116</v>
      </c>
      <c r="P23" s="8">
        <v>33</v>
      </c>
      <c r="Q23" s="8" t="s">
        <v>117</v>
      </c>
    </row>
    <row r="24" spans="1:17" ht="30" x14ac:dyDescent="0.25">
      <c r="A24" s="7" t="s">
        <v>107</v>
      </c>
      <c r="B24" s="2" t="s">
        <v>151</v>
      </c>
      <c r="C24" s="2" t="s">
        <v>109</v>
      </c>
      <c r="D24" s="2" t="s">
        <v>110</v>
      </c>
      <c r="E24" s="18" t="s">
        <v>111</v>
      </c>
      <c r="F24" s="2">
        <v>2020</v>
      </c>
      <c r="G24" s="2" t="s">
        <v>112</v>
      </c>
      <c r="H24" s="2" t="s">
        <v>140</v>
      </c>
      <c r="I24" s="2" t="s">
        <v>152</v>
      </c>
      <c r="J24" s="2" t="s">
        <v>115</v>
      </c>
      <c r="K24" s="2" t="s">
        <v>153</v>
      </c>
      <c r="L24" s="12">
        <v>6050</v>
      </c>
      <c r="M24" s="2">
        <f t="shared" si="0"/>
        <v>4840</v>
      </c>
      <c r="N24" s="2" t="s">
        <v>152</v>
      </c>
      <c r="O24" s="2" t="s">
        <v>116</v>
      </c>
      <c r="P24" s="8">
        <v>33</v>
      </c>
      <c r="Q24" s="8" t="s">
        <v>117</v>
      </c>
    </row>
    <row r="25" spans="1:17" ht="30" x14ac:dyDescent="0.25">
      <c r="A25" s="7" t="s">
        <v>107</v>
      </c>
      <c r="B25" s="2" t="s">
        <v>154</v>
      </c>
      <c r="C25" s="2" t="s">
        <v>109</v>
      </c>
      <c r="D25" s="2" t="s">
        <v>110</v>
      </c>
      <c r="E25" s="18" t="s">
        <v>111</v>
      </c>
      <c r="F25" s="2">
        <v>2020</v>
      </c>
      <c r="G25" s="2" t="s">
        <v>112</v>
      </c>
      <c r="H25" s="2" t="s">
        <v>140</v>
      </c>
      <c r="I25" s="2" t="s">
        <v>155</v>
      </c>
      <c r="J25" s="2" t="s">
        <v>115</v>
      </c>
      <c r="K25" s="18" t="s">
        <v>291</v>
      </c>
      <c r="L25" s="12">
        <v>6050</v>
      </c>
      <c r="M25" s="2">
        <f t="shared" si="0"/>
        <v>4840</v>
      </c>
      <c r="N25" s="2" t="s">
        <v>155</v>
      </c>
      <c r="O25" s="2" t="s">
        <v>116</v>
      </c>
      <c r="P25" s="8"/>
      <c r="Q25" s="8" t="s">
        <v>117</v>
      </c>
    </row>
    <row r="26" spans="1:17" ht="30" x14ac:dyDescent="0.25">
      <c r="A26" s="7" t="s">
        <v>107</v>
      </c>
      <c r="B26" s="2" t="s">
        <v>156</v>
      </c>
      <c r="C26" s="2" t="s">
        <v>157</v>
      </c>
      <c r="D26" s="2" t="s">
        <v>158</v>
      </c>
      <c r="E26" s="18" t="s">
        <v>111</v>
      </c>
      <c r="F26" s="2">
        <v>2008</v>
      </c>
      <c r="G26" s="2" t="s">
        <v>159</v>
      </c>
      <c r="H26" s="2" t="s">
        <v>160</v>
      </c>
      <c r="I26" s="2">
        <v>38992</v>
      </c>
      <c r="J26" s="2" t="s">
        <v>160</v>
      </c>
      <c r="K26" s="2" t="s">
        <v>290</v>
      </c>
      <c r="L26" s="12">
        <v>6050</v>
      </c>
      <c r="M26" s="2">
        <f t="shared" si="0"/>
        <v>4840</v>
      </c>
      <c r="N26" s="2">
        <v>38992</v>
      </c>
      <c r="O26" s="2" t="s">
        <v>116</v>
      </c>
      <c r="P26" s="8"/>
      <c r="Q26" s="8" t="s">
        <v>117</v>
      </c>
    </row>
    <row r="27" spans="1:17" ht="30" x14ac:dyDescent="0.25">
      <c r="A27" s="7" t="s">
        <v>107</v>
      </c>
      <c r="B27" s="2" t="s">
        <v>161</v>
      </c>
      <c r="C27" s="2" t="s">
        <v>162</v>
      </c>
      <c r="D27" s="2" t="s">
        <v>163</v>
      </c>
      <c r="E27" s="18" t="s">
        <v>127</v>
      </c>
      <c r="F27" s="2">
        <v>2002</v>
      </c>
      <c r="G27" s="2" t="s">
        <v>85</v>
      </c>
      <c r="H27" s="2" t="s">
        <v>164</v>
      </c>
      <c r="I27" s="2" t="s">
        <v>165</v>
      </c>
      <c r="J27" s="2" t="s">
        <v>166</v>
      </c>
      <c r="K27" s="2" t="s">
        <v>25</v>
      </c>
      <c r="L27" s="12">
        <v>5000</v>
      </c>
      <c r="M27" s="2">
        <f t="shared" si="0"/>
        <v>4000</v>
      </c>
      <c r="N27" s="2" t="s">
        <v>165</v>
      </c>
      <c r="O27" s="2" t="s">
        <v>26</v>
      </c>
      <c r="P27" s="8"/>
      <c r="Q27" s="8" t="s">
        <v>117</v>
      </c>
    </row>
    <row r="28" spans="1:17" ht="30" x14ac:dyDescent="0.25">
      <c r="A28" s="7" t="s">
        <v>107</v>
      </c>
      <c r="B28" s="2" t="s">
        <v>167</v>
      </c>
      <c r="C28" s="2" t="s">
        <v>109</v>
      </c>
      <c r="D28" s="2" t="s">
        <v>110</v>
      </c>
      <c r="E28" s="18" t="s">
        <v>111</v>
      </c>
      <c r="F28" s="2">
        <v>2023</v>
      </c>
      <c r="G28" s="2" t="s">
        <v>112</v>
      </c>
      <c r="H28" s="2" t="s">
        <v>140</v>
      </c>
      <c r="I28" s="2" t="s">
        <v>168</v>
      </c>
      <c r="J28" s="2" t="s">
        <v>115</v>
      </c>
      <c r="K28" s="2" t="s">
        <v>169</v>
      </c>
      <c r="L28" s="12">
        <v>6050</v>
      </c>
      <c r="M28" s="2">
        <f t="shared" ref="M28:M33" si="3">+L28*0.9</f>
        <v>5445</v>
      </c>
      <c r="N28" s="2" t="s">
        <v>168</v>
      </c>
      <c r="O28" s="2" t="s">
        <v>116</v>
      </c>
      <c r="P28" s="8"/>
      <c r="Q28" s="8" t="s">
        <v>117</v>
      </c>
    </row>
    <row r="29" spans="1:17" ht="30" x14ac:dyDescent="0.25">
      <c r="A29" s="7" t="s">
        <v>107</v>
      </c>
      <c r="B29" s="2" t="s">
        <v>170</v>
      </c>
      <c r="C29" s="2" t="s">
        <v>109</v>
      </c>
      <c r="D29" s="2" t="s">
        <v>110</v>
      </c>
      <c r="E29" s="18" t="s">
        <v>111</v>
      </c>
      <c r="F29" s="2">
        <v>2023</v>
      </c>
      <c r="G29" s="2" t="s">
        <v>112</v>
      </c>
      <c r="H29" s="2" t="s">
        <v>140</v>
      </c>
      <c r="I29" s="2" t="s">
        <v>171</v>
      </c>
      <c r="J29" s="2" t="s">
        <v>115</v>
      </c>
      <c r="K29" s="2" t="s">
        <v>25</v>
      </c>
      <c r="L29" s="12">
        <v>6952</v>
      </c>
      <c r="M29" s="2">
        <f t="shared" si="3"/>
        <v>6256.8</v>
      </c>
      <c r="N29" s="2" t="s">
        <v>171</v>
      </c>
      <c r="O29" s="2" t="s">
        <v>116</v>
      </c>
      <c r="P29" s="8"/>
      <c r="Q29" s="8" t="s">
        <v>117</v>
      </c>
    </row>
    <row r="30" spans="1:17" ht="30" x14ac:dyDescent="0.25">
      <c r="A30" s="7" t="s">
        <v>107</v>
      </c>
      <c r="B30" s="2" t="s">
        <v>172</v>
      </c>
      <c r="C30" s="2" t="s">
        <v>109</v>
      </c>
      <c r="D30" s="2" t="s">
        <v>110</v>
      </c>
      <c r="E30" s="18" t="s">
        <v>111</v>
      </c>
      <c r="F30" s="2">
        <v>2023</v>
      </c>
      <c r="G30" s="2" t="s">
        <v>112</v>
      </c>
      <c r="H30" s="2" t="s">
        <v>140</v>
      </c>
      <c r="I30" s="2" t="s">
        <v>173</v>
      </c>
      <c r="J30" s="2" t="s">
        <v>115</v>
      </c>
      <c r="K30" s="2" t="s">
        <v>169</v>
      </c>
      <c r="L30" s="12">
        <v>6952</v>
      </c>
      <c r="M30" s="2">
        <f t="shared" si="3"/>
        <v>6256.8</v>
      </c>
      <c r="N30" s="2" t="s">
        <v>173</v>
      </c>
      <c r="O30" s="2" t="s">
        <v>116</v>
      </c>
      <c r="P30" s="8"/>
      <c r="Q30" s="8" t="s">
        <v>117</v>
      </c>
    </row>
    <row r="31" spans="1:17" ht="18.75" x14ac:dyDescent="0.25">
      <c r="A31" s="7" t="s">
        <v>107</v>
      </c>
      <c r="B31" s="2" t="s">
        <v>174</v>
      </c>
      <c r="C31" s="2" t="s">
        <v>175</v>
      </c>
      <c r="D31" s="2" t="s">
        <v>176</v>
      </c>
      <c r="E31" s="18" t="s">
        <v>177</v>
      </c>
      <c r="F31" s="2">
        <v>2023</v>
      </c>
      <c r="G31" s="2" t="s">
        <v>178</v>
      </c>
      <c r="H31" s="2" t="s">
        <v>179</v>
      </c>
      <c r="I31" s="2" t="s">
        <v>180</v>
      </c>
      <c r="J31" s="2" t="s">
        <v>181</v>
      </c>
      <c r="K31" s="2" t="s">
        <v>123</v>
      </c>
      <c r="L31" s="12">
        <v>8925</v>
      </c>
      <c r="M31" s="2">
        <f t="shared" si="3"/>
        <v>8032.5</v>
      </c>
      <c r="N31" s="2" t="s">
        <v>180</v>
      </c>
      <c r="O31" s="2" t="s">
        <v>116</v>
      </c>
      <c r="P31" s="8"/>
      <c r="Q31" s="8" t="s">
        <v>117</v>
      </c>
    </row>
    <row r="32" spans="1:17" ht="30" x14ac:dyDescent="0.25">
      <c r="A32" s="7" t="s">
        <v>107</v>
      </c>
      <c r="B32" s="2" t="s">
        <v>285</v>
      </c>
      <c r="C32" s="2" t="s">
        <v>109</v>
      </c>
      <c r="D32" s="2" t="s">
        <v>110</v>
      </c>
      <c r="E32" s="18" t="s">
        <v>111</v>
      </c>
      <c r="F32" s="2">
        <v>2024</v>
      </c>
      <c r="G32" s="2" t="s">
        <v>112</v>
      </c>
      <c r="H32" s="2" t="s">
        <v>179</v>
      </c>
      <c r="I32" s="2" t="s">
        <v>287</v>
      </c>
      <c r="J32" s="2" t="s">
        <v>286</v>
      </c>
      <c r="K32" s="2" t="s">
        <v>25</v>
      </c>
      <c r="L32" s="12">
        <v>6952</v>
      </c>
      <c r="M32" s="2">
        <f t="shared" si="3"/>
        <v>6256.8</v>
      </c>
      <c r="N32" s="2" t="s">
        <v>287</v>
      </c>
      <c r="O32" s="2" t="s">
        <v>116</v>
      </c>
      <c r="P32" s="8"/>
      <c r="Q32" s="8" t="s">
        <v>117</v>
      </c>
    </row>
    <row r="33" spans="1:17" s="36" customFormat="1" ht="21" x14ac:dyDescent="0.25">
      <c r="A33" s="32" t="s">
        <v>182</v>
      </c>
      <c r="B33" s="33" t="s">
        <v>183</v>
      </c>
      <c r="C33" s="33" t="s">
        <v>184</v>
      </c>
      <c r="D33" s="33" t="s">
        <v>185</v>
      </c>
      <c r="E33" s="33" t="s">
        <v>20</v>
      </c>
      <c r="F33" s="33">
        <v>2015</v>
      </c>
      <c r="G33" s="33" t="s">
        <v>135</v>
      </c>
      <c r="H33" s="33">
        <v>10774</v>
      </c>
      <c r="I33" s="33" t="s">
        <v>186</v>
      </c>
      <c r="J33" s="33" t="s">
        <v>187</v>
      </c>
      <c r="K33" s="33" t="s">
        <v>188</v>
      </c>
      <c r="L33" s="34">
        <v>3500</v>
      </c>
      <c r="M33" s="33">
        <f t="shared" si="3"/>
        <v>3150</v>
      </c>
      <c r="N33" s="33" t="s">
        <v>189</v>
      </c>
      <c r="O33" s="33" t="s">
        <v>26</v>
      </c>
      <c r="P33" s="35"/>
      <c r="Q33" s="35" t="s">
        <v>117</v>
      </c>
    </row>
    <row r="34" spans="1:17" ht="18.75" x14ac:dyDescent="0.25">
      <c r="A34" s="20" t="s">
        <v>190</v>
      </c>
      <c r="B34" s="19" t="s">
        <v>191</v>
      </c>
      <c r="C34" s="25" t="s">
        <v>192</v>
      </c>
      <c r="D34" s="19" t="s">
        <v>193</v>
      </c>
      <c r="E34" s="19" t="s">
        <v>194</v>
      </c>
      <c r="F34" s="19"/>
      <c r="G34" s="19"/>
      <c r="H34" s="19" t="s">
        <v>195</v>
      </c>
      <c r="I34" s="19">
        <v>78636</v>
      </c>
      <c r="J34" s="41" t="s">
        <v>196</v>
      </c>
      <c r="K34" s="42"/>
      <c r="L34" s="43"/>
      <c r="M34" s="19"/>
      <c r="N34" s="19"/>
      <c r="O34" s="19"/>
      <c r="P34" s="21"/>
      <c r="Q34" s="21" t="s">
        <v>197</v>
      </c>
    </row>
    <row r="35" spans="1:17" ht="18.75" x14ac:dyDescent="0.25">
      <c r="A35" s="20" t="s">
        <v>190</v>
      </c>
      <c r="B35" s="19" t="s">
        <v>198</v>
      </c>
      <c r="C35" s="25" t="s">
        <v>199</v>
      </c>
      <c r="D35" s="19" t="s">
        <v>193</v>
      </c>
      <c r="E35" s="19" t="s">
        <v>194</v>
      </c>
      <c r="F35" s="19"/>
      <c r="G35" s="19"/>
      <c r="H35" s="19" t="s">
        <v>200</v>
      </c>
      <c r="I35" s="19" t="s">
        <v>201</v>
      </c>
      <c r="J35" s="41" t="s">
        <v>202</v>
      </c>
      <c r="K35" s="42"/>
      <c r="L35" s="43"/>
      <c r="M35" s="19"/>
      <c r="N35" s="19"/>
      <c r="O35" s="19"/>
      <c r="P35" s="21"/>
      <c r="Q35" s="21" t="s">
        <v>197</v>
      </c>
    </row>
    <row r="36" spans="1:17" ht="18.75" x14ac:dyDescent="0.25">
      <c r="A36" s="20" t="s">
        <v>203</v>
      </c>
      <c r="B36" s="19" t="s">
        <v>204</v>
      </c>
      <c r="C36" s="25" t="s">
        <v>205</v>
      </c>
      <c r="D36" s="19"/>
      <c r="E36" s="19" t="s">
        <v>194</v>
      </c>
      <c r="F36" s="19"/>
      <c r="G36" s="19"/>
      <c r="H36" s="19" t="s">
        <v>206</v>
      </c>
      <c r="I36" s="19"/>
      <c r="J36" s="41" t="s">
        <v>207</v>
      </c>
      <c r="K36" s="42"/>
      <c r="L36" s="43"/>
      <c r="M36" s="19"/>
      <c r="N36" s="19"/>
      <c r="O36" s="19"/>
      <c r="P36" s="21"/>
      <c r="Q36" s="21" t="s">
        <v>197</v>
      </c>
    </row>
    <row r="37" spans="1:17" ht="18.75" x14ac:dyDescent="0.25">
      <c r="A37" s="20" t="s">
        <v>203</v>
      </c>
      <c r="B37" s="19" t="s">
        <v>208</v>
      </c>
      <c r="C37" s="25" t="s">
        <v>209</v>
      </c>
      <c r="D37" s="19"/>
      <c r="E37" s="19" t="s">
        <v>194</v>
      </c>
      <c r="F37" s="19"/>
      <c r="G37" s="19"/>
      <c r="H37" s="19" t="s">
        <v>195</v>
      </c>
      <c r="I37" s="19"/>
      <c r="J37" s="41" t="s">
        <v>210</v>
      </c>
      <c r="K37" s="42"/>
      <c r="L37" s="43"/>
      <c r="M37" s="19"/>
      <c r="N37" s="19"/>
      <c r="O37" s="19"/>
      <c r="P37" s="21"/>
      <c r="Q37" s="21" t="s">
        <v>197</v>
      </c>
    </row>
    <row r="38" spans="1:17" ht="18.75" x14ac:dyDescent="0.25">
      <c r="A38" s="20" t="s">
        <v>203</v>
      </c>
      <c r="B38" s="19" t="s">
        <v>211</v>
      </c>
      <c r="C38" s="25" t="s">
        <v>212</v>
      </c>
      <c r="D38" s="19"/>
      <c r="E38" s="19" t="s">
        <v>56</v>
      </c>
      <c r="F38" s="19"/>
      <c r="G38" s="19"/>
      <c r="H38" s="19" t="s">
        <v>195</v>
      </c>
      <c r="I38" s="19" t="s">
        <v>213</v>
      </c>
      <c r="J38" s="41" t="s">
        <v>214</v>
      </c>
      <c r="K38" s="42"/>
      <c r="L38" s="43"/>
      <c r="M38" s="19"/>
      <c r="N38" s="19"/>
      <c r="O38" s="19"/>
      <c r="P38" s="21"/>
      <c r="Q38" s="21" t="s">
        <v>197</v>
      </c>
    </row>
    <row r="39" spans="1:17" ht="18.75" x14ac:dyDescent="0.25">
      <c r="A39" s="20" t="s">
        <v>203</v>
      </c>
      <c r="B39" s="19" t="s">
        <v>215</v>
      </c>
      <c r="C39" s="25" t="s">
        <v>209</v>
      </c>
      <c r="D39" s="19"/>
      <c r="E39" s="19" t="s">
        <v>56</v>
      </c>
      <c r="F39" s="19"/>
      <c r="G39" s="19"/>
      <c r="H39" s="19" t="s">
        <v>216</v>
      </c>
      <c r="I39" s="19" t="s">
        <v>217</v>
      </c>
      <c r="J39" s="41" t="s">
        <v>219</v>
      </c>
      <c r="K39" s="42"/>
      <c r="L39" s="43"/>
      <c r="M39" s="19"/>
      <c r="N39" s="19"/>
      <c r="O39" s="19"/>
      <c r="P39" s="21"/>
      <c r="Q39" s="21" t="s">
        <v>197</v>
      </c>
    </row>
    <row r="40" spans="1:17" ht="18.75" x14ac:dyDescent="0.25">
      <c r="A40" s="20" t="s">
        <v>203</v>
      </c>
      <c r="B40" s="19" t="s">
        <v>218</v>
      </c>
      <c r="C40" s="25" t="s">
        <v>209</v>
      </c>
      <c r="D40" s="19"/>
      <c r="E40" s="19" t="s">
        <v>194</v>
      </c>
      <c r="F40" s="19"/>
      <c r="G40" s="19"/>
      <c r="H40" s="19" t="s">
        <v>200</v>
      </c>
      <c r="I40" s="19"/>
      <c r="J40" s="41" t="s">
        <v>219</v>
      </c>
      <c r="K40" s="42"/>
      <c r="L40" s="43"/>
      <c r="M40" s="19"/>
      <c r="N40" s="19"/>
      <c r="O40" s="19"/>
      <c r="P40" s="21"/>
      <c r="Q40" s="21" t="s">
        <v>197</v>
      </c>
    </row>
    <row r="41" spans="1:17" ht="18.75" x14ac:dyDescent="0.25">
      <c r="A41" s="20" t="s">
        <v>203</v>
      </c>
      <c r="B41" s="19" t="s">
        <v>220</v>
      </c>
      <c r="C41" s="25" t="s">
        <v>209</v>
      </c>
      <c r="D41" s="19"/>
      <c r="E41" s="19" t="s">
        <v>194</v>
      </c>
      <c r="F41" s="19"/>
      <c r="G41" s="19"/>
      <c r="H41" s="19" t="s">
        <v>200</v>
      </c>
      <c r="I41" s="19" t="s">
        <v>221</v>
      </c>
      <c r="J41" s="41" t="s">
        <v>222</v>
      </c>
      <c r="K41" s="42"/>
      <c r="L41" s="43"/>
      <c r="M41" s="19"/>
      <c r="N41" s="19"/>
      <c r="O41" s="19"/>
      <c r="P41" s="21"/>
      <c r="Q41" s="21" t="s">
        <v>197</v>
      </c>
    </row>
    <row r="42" spans="1:17" ht="18.75" x14ac:dyDescent="0.25">
      <c r="A42" s="20" t="s">
        <v>203</v>
      </c>
      <c r="B42" s="19" t="s">
        <v>223</v>
      </c>
      <c r="C42" s="25" t="s">
        <v>209</v>
      </c>
      <c r="D42" s="19"/>
      <c r="E42" s="19" t="s">
        <v>56</v>
      </c>
      <c r="F42" s="19"/>
      <c r="G42" s="19"/>
      <c r="H42" s="19" t="s">
        <v>200</v>
      </c>
      <c r="I42" s="19"/>
      <c r="J42" s="41" t="s">
        <v>298</v>
      </c>
      <c r="K42" s="42"/>
      <c r="L42" s="43"/>
      <c r="M42" s="19"/>
      <c r="N42" s="19"/>
      <c r="O42" s="19"/>
      <c r="P42" s="21"/>
      <c r="Q42" s="21" t="s">
        <v>197</v>
      </c>
    </row>
    <row r="43" spans="1:17" ht="18.75" x14ac:dyDescent="0.25">
      <c r="A43" s="20" t="s">
        <v>203</v>
      </c>
      <c r="B43" s="19" t="s">
        <v>283</v>
      </c>
      <c r="C43" s="25" t="s">
        <v>209</v>
      </c>
      <c r="D43" s="19"/>
      <c r="E43" s="19" t="s">
        <v>56</v>
      </c>
      <c r="F43" s="19"/>
      <c r="G43" s="19"/>
      <c r="H43" s="19" t="s">
        <v>216</v>
      </c>
      <c r="I43" s="19"/>
      <c r="J43" s="41" t="s">
        <v>284</v>
      </c>
      <c r="K43" s="42"/>
      <c r="L43" s="43"/>
      <c r="M43" s="19"/>
      <c r="N43" s="19"/>
      <c r="O43" s="19"/>
      <c r="P43" s="21"/>
      <c r="Q43" s="21" t="s">
        <v>197</v>
      </c>
    </row>
    <row r="44" spans="1:17" ht="18.75" x14ac:dyDescent="0.25">
      <c r="A44" s="22" t="s">
        <v>224</v>
      </c>
      <c r="B44" s="23" t="s">
        <v>225</v>
      </c>
      <c r="C44" s="23" t="s">
        <v>226</v>
      </c>
      <c r="D44" s="23"/>
      <c r="E44" s="23" t="s">
        <v>194</v>
      </c>
      <c r="F44" s="23"/>
      <c r="G44" s="23"/>
      <c r="H44" s="23" t="s">
        <v>227</v>
      </c>
      <c r="I44" s="23"/>
      <c r="J44" s="38" t="s">
        <v>196</v>
      </c>
      <c r="K44" s="39"/>
      <c r="L44" s="40"/>
      <c r="M44" s="23"/>
      <c r="N44" s="23"/>
      <c r="O44" s="23"/>
      <c r="P44" s="24"/>
      <c r="Q44" s="24" t="s">
        <v>197</v>
      </c>
    </row>
    <row r="45" spans="1:17" ht="18.75" x14ac:dyDescent="0.25">
      <c r="A45" s="22" t="s">
        <v>224</v>
      </c>
      <c r="B45" s="23" t="s">
        <v>228</v>
      </c>
      <c r="C45" s="23" t="s">
        <v>226</v>
      </c>
      <c r="D45" s="23"/>
      <c r="E45" s="23" t="s">
        <v>194</v>
      </c>
      <c r="F45" s="23"/>
      <c r="G45" s="23"/>
      <c r="H45" s="23"/>
      <c r="I45" s="23"/>
      <c r="J45" s="38" t="s">
        <v>229</v>
      </c>
      <c r="K45" s="39"/>
      <c r="L45" s="40"/>
      <c r="M45" s="23"/>
      <c r="N45" s="23"/>
      <c r="O45" s="23"/>
      <c r="P45" s="24"/>
      <c r="Q45" s="24" t="s">
        <v>197</v>
      </c>
    </row>
    <row r="46" spans="1:17" ht="18.75" x14ac:dyDescent="0.25">
      <c r="A46" s="22" t="s">
        <v>224</v>
      </c>
      <c r="B46" s="23" t="s">
        <v>230</v>
      </c>
      <c r="C46" s="23" t="s">
        <v>226</v>
      </c>
      <c r="D46" s="23"/>
      <c r="E46" s="23" t="s">
        <v>194</v>
      </c>
      <c r="F46" s="23"/>
      <c r="G46" s="23"/>
      <c r="H46" s="23"/>
      <c r="I46" s="23"/>
      <c r="J46" s="38" t="s">
        <v>207</v>
      </c>
      <c r="K46" s="39"/>
      <c r="L46" s="40"/>
      <c r="M46" s="23"/>
      <c r="N46" s="23"/>
      <c r="O46" s="23"/>
      <c r="P46" s="24"/>
      <c r="Q46" s="24" t="s">
        <v>197</v>
      </c>
    </row>
    <row r="47" spans="1:17" ht="18.75" x14ac:dyDescent="0.25">
      <c r="A47" s="27" t="s">
        <v>224</v>
      </c>
      <c r="B47" s="28" t="s">
        <v>231</v>
      </c>
      <c r="C47" s="23" t="s">
        <v>226</v>
      </c>
      <c r="D47" s="23"/>
      <c r="E47" s="23" t="s">
        <v>56</v>
      </c>
      <c r="F47" s="23"/>
      <c r="G47" s="23"/>
      <c r="H47" s="23"/>
      <c r="I47" s="23"/>
      <c r="J47" s="38" t="s">
        <v>214</v>
      </c>
      <c r="K47" s="39"/>
      <c r="L47" s="40"/>
      <c r="M47" s="23"/>
      <c r="N47" s="23"/>
      <c r="O47" s="23"/>
      <c r="P47" s="24"/>
      <c r="Q47" s="24" t="s">
        <v>197</v>
      </c>
    </row>
    <row r="48" spans="1:17" ht="18.75" x14ac:dyDescent="0.25">
      <c r="A48" s="31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4"/>
      <c r="Q48" s="4"/>
    </row>
    <row r="49" spans="1:17" ht="18.75" x14ac:dyDescent="0.25">
      <c r="A49" s="31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4"/>
      <c r="Q49" s="4"/>
    </row>
    <row r="50" spans="1:17" ht="18.75" x14ac:dyDescent="0.25">
      <c r="A50" s="31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4"/>
      <c r="Q50" s="4"/>
    </row>
    <row r="51" spans="1:17" ht="18.75" x14ac:dyDescent="0.25">
      <c r="A51" s="31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4"/>
      <c r="Q51" s="4"/>
    </row>
    <row r="52" spans="1:17" ht="26.25" x14ac:dyDescent="0.4">
      <c r="A52" s="29" t="s">
        <v>232</v>
      </c>
      <c r="B52" s="30"/>
      <c r="Q52" s="4"/>
    </row>
    <row r="53" spans="1:17" ht="30" x14ac:dyDescent="0.25">
      <c r="A53" s="5" t="s">
        <v>0</v>
      </c>
      <c r="B53" s="5" t="s">
        <v>1</v>
      </c>
      <c r="C53" s="5" t="s">
        <v>2</v>
      </c>
      <c r="D53" s="5" t="s">
        <v>3</v>
      </c>
      <c r="E53" s="5" t="s">
        <v>4</v>
      </c>
      <c r="F53" s="5" t="s">
        <v>5</v>
      </c>
      <c r="G53" s="5" t="s">
        <v>6</v>
      </c>
      <c r="H53" s="5" t="s">
        <v>7</v>
      </c>
      <c r="I53" s="5" t="s">
        <v>8</v>
      </c>
      <c r="J53" s="5" t="s">
        <v>9</v>
      </c>
      <c r="K53" s="5" t="s">
        <v>14</v>
      </c>
      <c r="L53" s="11" t="s">
        <v>11</v>
      </c>
      <c r="M53" s="5" t="s">
        <v>13</v>
      </c>
      <c r="N53" s="5" t="s">
        <v>10</v>
      </c>
      <c r="O53" s="6" t="s">
        <v>15</v>
      </c>
      <c r="P53" s="6" t="s">
        <v>16</v>
      </c>
      <c r="Q53" s="4"/>
    </row>
    <row r="54" spans="1:17" ht="18.75" x14ac:dyDescent="0.25">
      <c r="A54" s="17" t="s">
        <v>52</v>
      </c>
      <c r="B54" s="2" t="s">
        <v>233</v>
      </c>
      <c r="C54" s="2" t="s">
        <v>234</v>
      </c>
      <c r="D54" s="2" t="s">
        <v>235</v>
      </c>
      <c r="E54" s="2" t="s">
        <v>56</v>
      </c>
      <c r="F54" s="2">
        <v>1998</v>
      </c>
      <c r="G54" s="2" t="s">
        <v>57</v>
      </c>
      <c r="H54" s="1" t="s">
        <v>236</v>
      </c>
      <c r="I54" s="2" t="s">
        <v>237</v>
      </c>
      <c r="J54" s="2" t="s">
        <v>238</v>
      </c>
      <c r="K54" s="2"/>
      <c r="L54" s="12">
        <v>64042</v>
      </c>
      <c r="M54" s="2">
        <v>580348</v>
      </c>
      <c r="N54" s="2" t="s">
        <v>25</v>
      </c>
      <c r="O54" s="8"/>
      <c r="P54" s="8" t="s">
        <v>27</v>
      </c>
      <c r="Q54" s="4"/>
    </row>
    <row r="55" spans="1:17" ht="18.75" x14ac:dyDescent="0.25">
      <c r="A55" s="17" t="s">
        <v>52</v>
      </c>
      <c r="B55" s="2" t="s">
        <v>239</v>
      </c>
      <c r="C55" s="2" t="s">
        <v>54</v>
      </c>
      <c r="D55" s="2" t="s">
        <v>240</v>
      </c>
      <c r="E55" s="2" t="s">
        <v>241</v>
      </c>
      <c r="F55" s="2">
        <v>1987</v>
      </c>
      <c r="G55" s="2" t="s">
        <v>85</v>
      </c>
      <c r="H55" s="1" t="s">
        <v>242</v>
      </c>
      <c r="I55" s="2" t="s">
        <v>243</v>
      </c>
      <c r="J55" s="2" t="s">
        <v>244</v>
      </c>
      <c r="K55" s="2"/>
      <c r="L55" s="12">
        <v>64042</v>
      </c>
      <c r="M55" s="2" t="s">
        <v>243</v>
      </c>
      <c r="N55" s="2" t="s">
        <v>25</v>
      </c>
      <c r="O55" s="8"/>
      <c r="P55" s="8" t="s">
        <v>27</v>
      </c>
      <c r="Q55" s="4"/>
    </row>
    <row r="56" spans="1:17" ht="18.75" x14ac:dyDescent="0.25">
      <c r="A56" s="17" t="s">
        <v>245</v>
      </c>
      <c r="B56" s="2" t="s">
        <v>246</v>
      </c>
      <c r="C56" s="2" t="s">
        <v>38</v>
      </c>
      <c r="D56" s="2" t="s">
        <v>39</v>
      </c>
      <c r="E56" s="2" t="s">
        <v>194</v>
      </c>
      <c r="F56" s="2">
        <v>2014</v>
      </c>
      <c r="G56" s="2" t="s">
        <v>21</v>
      </c>
      <c r="H56" s="1" t="s">
        <v>247</v>
      </c>
      <c r="I56" s="2" t="s">
        <v>248</v>
      </c>
      <c r="J56" s="3" t="s">
        <v>249</v>
      </c>
      <c r="K56" s="3" t="s">
        <v>26</v>
      </c>
      <c r="L56" s="3" t="s">
        <v>250</v>
      </c>
      <c r="M56" s="2" t="s">
        <v>251</v>
      </c>
      <c r="N56" s="3" t="s">
        <v>102</v>
      </c>
      <c r="O56" s="8">
        <v>18</v>
      </c>
      <c r="P56" s="8" t="s">
        <v>27</v>
      </c>
      <c r="Q56" s="4"/>
    </row>
    <row r="57" spans="1:17" ht="18.75" x14ac:dyDescent="0.25">
      <c r="A57" s="17" t="s">
        <v>28</v>
      </c>
      <c r="B57" s="2" t="s">
        <v>252</v>
      </c>
      <c r="C57" s="2" t="s">
        <v>253</v>
      </c>
      <c r="D57" s="2" t="s">
        <v>19</v>
      </c>
      <c r="E57" s="2" t="s">
        <v>32</v>
      </c>
      <c r="F57" s="2">
        <v>2003</v>
      </c>
      <c r="G57" s="2" t="s">
        <v>254</v>
      </c>
      <c r="H57" s="1" t="s">
        <v>255</v>
      </c>
      <c r="I57" s="2" t="s">
        <v>256</v>
      </c>
      <c r="J57" s="2" t="s">
        <v>257</v>
      </c>
      <c r="K57" s="2" t="s">
        <v>26</v>
      </c>
      <c r="L57" s="12">
        <v>39000</v>
      </c>
      <c r="M57" s="2">
        <v>152224</v>
      </c>
      <c r="N57" s="2" t="s">
        <v>25</v>
      </c>
      <c r="O57" s="8">
        <v>7</v>
      </c>
      <c r="P57" s="8" t="s">
        <v>27</v>
      </c>
      <c r="Q57" s="4"/>
    </row>
    <row r="58" spans="1:17" ht="18.75" x14ac:dyDescent="0.25">
      <c r="A58" s="17" t="s">
        <v>258</v>
      </c>
      <c r="B58" s="2" t="s">
        <v>259</v>
      </c>
      <c r="C58" s="15" t="s">
        <v>260</v>
      </c>
      <c r="D58" s="14" t="s">
        <v>261</v>
      </c>
      <c r="E58" s="15" t="s">
        <v>56</v>
      </c>
      <c r="F58" s="16">
        <v>2000</v>
      </c>
      <c r="G58" s="16" t="s">
        <v>262</v>
      </c>
      <c r="H58" s="1" t="s">
        <v>263</v>
      </c>
      <c r="I58" s="15" t="s">
        <v>264</v>
      </c>
      <c r="J58" s="15" t="s">
        <v>265</v>
      </c>
      <c r="K58" s="14"/>
      <c r="L58" s="15"/>
      <c r="M58" s="14"/>
      <c r="N58" s="14"/>
      <c r="O58" s="14"/>
      <c r="P58" s="14"/>
      <c r="Q58" s="4"/>
    </row>
    <row r="59" spans="1:17" ht="18.75" x14ac:dyDescent="0.25">
      <c r="A59" s="17" t="s">
        <v>258</v>
      </c>
      <c r="B59" s="2" t="s">
        <v>266</v>
      </c>
      <c r="C59" s="15" t="s">
        <v>267</v>
      </c>
      <c r="D59" s="15" t="s">
        <v>261</v>
      </c>
      <c r="E59" s="15" t="s">
        <v>241</v>
      </c>
      <c r="F59" s="15">
        <v>2007</v>
      </c>
      <c r="G59" s="15" t="s">
        <v>268</v>
      </c>
      <c r="H59" s="1" t="s">
        <v>269</v>
      </c>
      <c r="I59" s="15" t="s">
        <v>270</v>
      </c>
      <c r="J59" s="15" t="s">
        <v>271</v>
      </c>
      <c r="K59" s="14"/>
      <c r="L59" s="15"/>
      <c r="M59" s="15"/>
      <c r="N59" s="14"/>
      <c r="O59" s="14"/>
      <c r="P59" s="14"/>
      <c r="Q59" s="4"/>
    </row>
    <row r="60" spans="1:17" ht="18.75" x14ac:dyDescent="0.25">
      <c r="A60" s="17" t="s">
        <v>245</v>
      </c>
      <c r="B60" s="15"/>
      <c r="C60" s="15" t="s">
        <v>272</v>
      </c>
      <c r="D60" s="15" t="s">
        <v>273</v>
      </c>
      <c r="E60" s="15" t="s">
        <v>40</v>
      </c>
      <c r="F60" s="15"/>
      <c r="G60" s="15" t="s">
        <v>268</v>
      </c>
      <c r="H60" s="15"/>
      <c r="I60" s="15"/>
      <c r="J60" s="15"/>
      <c r="K60" s="14"/>
      <c r="L60" s="15"/>
      <c r="M60" s="15"/>
      <c r="N60" s="14"/>
      <c r="O60" s="14"/>
      <c r="P60" s="14"/>
      <c r="Q60" s="4"/>
    </row>
    <row r="61" spans="1:17" ht="18.75" x14ac:dyDescent="0.25">
      <c r="A61" s="17" t="s">
        <v>107</v>
      </c>
      <c r="B61" s="15"/>
      <c r="C61" s="15" t="s">
        <v>274</v>
      </c>
      <c r="D61" s="15" t="s">
        <v>275</v>
      </c>
      <c r="E61" s="15"/>
      <c r="F61" s="15">
        <v>1982</v>
      </c>
      <c r="G61" s="15"/>
      <c r="H61" s="15"/>
      <c r="I61" s="15"/>
      <c r="J61" s="15" t="s">
        <v>276</v>
      </c>
      <c r="K61" s="14"/>
      <c r="L61" s="15"/>
      <c r="M61" s="15"/>
      <c r="N61" s="14"/>
      <c r="O61" s="14"/>
    </row>
    <row r="62" spans="1:17" ht="18.75" x14ac:dyDescent="0.25">
      <c r="A62" s="17" t="s">
        <v>107</v>
      </c>
      <c r="B62" s="15"/>
      <c r="C62" s="15" t="s">
        <v>277</v>
      </c>
      <c r="D62" s="15" t="s">
        <v>278</v>
      </c>
      <c r="E62" s="15"/>
      <c r="F62" s="15">
        <v>1995</v>
      </c>
      <c r="G62" s="15"/>
      <c r="H62" s="15"/>
      <c r="I62" s="15"/>
      <c r="J62" s="15">
        <v>9550</v>
      </c>
      <c r="K62" s="14"/>
      <c r="L62" s="15"/>
      <c r="M62" s="15"/>
      <c r="N62" s="14"/>
      <c r="O62" s="14"/>
    </row>
    <row r="63" spans="1:17" ht="18.75" x14ac:dyDescent="0.25">
      <c r="A63" s="17" t="s">
        <v>107</v>
      </c>
      <c r="B63" s="2" t="s">
        <v>279</v>
      </c>
      <c r="C63" s="2" t="s">
        <v>109</v>
      </c>
      <c r="D63" s="2" t="s">
        <v>110</v>
      </c>
      <c r="E63" s="2" t="s">
        <v>280</v>
      </c>
      <c r="F63" s="2">
        <v>2014</v>
      </c>
      <c r="G63" s="2" t="s">
        <v>112</v>
      </c>
      <c r="H63" s="2" t="s">
        <v>281</v>
      </c>
      <c r="I63" s="2" t="s">
        <v>282</v>
      </c>
      <c r="J63" s="2"/>
      <c r="K63" s="2" t="s">
        <v>123</v>
      </c>
      <c r="L63" s="12">
        <v>8525</v>
      </c>
      <c r="M63" s="13">
        <f t="shared" ref="M63" si="4">+L63*0.8</f>
        <v>6820</v>
      </c>
      <c r="N63" s="2"/>
      <c r="O63" s="2" t="s">
        <v>116</v>
      </c>
      <c r="P63" s="8"/>
      <c r="Q63" s="8" t="s">
        <v>117</v>
      </c>
    </row>
  </sheetData>
  <autoFilter ref="A1:O47" xr:uid="{9B993C03-E40D-4122-BE2D-D65BC6B336C2}"/>
  <mergeCells count="14">
    <mergeCell ref="J47:L47"/>
    <mergeCell ref="J34:L34"/>
    <mergeCell ref="J35:L35"/>
    <mergeCell ref="J36:L36"/>
    <mergeCell ref="J37:L37"/>
    <mergeCell ref="J38:L38"/>
    <mergeCell ref="J39:L39"/>
    <mergeCell ref="J40:L40"/>
    <mergeCell ref="J41:L41"/>
    <mergeCell ref="J44:L44"/>
    <mergeCell ref="J45:L45"/>
    <mergeCell ref="J46:L46"/>
    <mergeCell ref="J42:L42"/>
    <mergeCell ref="J43:L43"/>
  </mergeCells>
  <pageMargins left="0.25" right="0.25" top="0.75" bottom="0.75" header="0.3" footer="0.3"/>
  <pageSetup scale="4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A06CC86B776B04EBB397B560E0B178F" ma:contentTypeVersion="11" ma:contentTypeDescription="Crear nuevo documento." ma:contentTypeScope="" ma:versionID="1c69bb930b9401f1250972158a73414c">
  <xsd:schema xmlns:xsd="http://www.w3.org/2001/XMLSchema" xmlns:xs="http://www.w3.org/2001/XMLSchema" xmlns:p="http://schemas.microsoft.com/office/2006/metadata/properties" xmlns:ns2="89363485-5ef0-4bed-8bed-b499554ba36f" xmlns:ns3="ed91a915-cf19-4f26-b717-15cdb15d08d1" targetNamespace="http://schemas.microsoft.com/office/2006/metadata/properties" ma:root="true" ma:fieldsID="cd6fdd2a8766e390c80402cc81e77e9b" ns2:_="" ns3:_="">
    <xsd:import namespace="89363485-5ef0-4bed-8bed-b499554ba36f"/>
    <xsd:import namespace="ed91a915-cf19-4f26-b717-15cdb15d08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363485-5ef0-4bed-8bed-b499554ba3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623db16-6d77-4ef3-8139-b8f42a61c1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1a915-cf19-4f26-b717-15cdb15d08d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7ac0a3-94ee-4129-90cb-e6c9ed53df49}" ma:internalName="TaxCatchAll" ma:showField="CatchAllData" ma:web="ed91a915-cf19-4f26-b717-15cdb15d08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363485-5ef0-4bed-8bed-b499554ba36f">
      <Terms xmlns="http://schemas.microsoft.com/office/infopath/2007/PartnerControls"/>
    </lcf76f155ced4ddcb4097134ff3c332f>
    <TaxCatchAll xmlns="ed91a915-cf19-4f26-b717-15cdb15d08d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D6E0E1-B245-4F35-B032-3C7FE60A1C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363485-5ef0-4bed-8bed-b499554ba36f"/>
    <ds:schemaRef ds:uri="ed91a915-cf19-4f26-b717-15cdb15d08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AEFDC3-BF47-4FF0-BA88-D1587D77EEEA}">
  <ds:schemaRefs>
    <ds:schemaRef ds:uri="http://schemas.microsoft.com/office/2006/metadata/properties"/>
    <ds:schemaRef ds:uri="89363485-5ef0-4bed-8bed-b499554ba36f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ed91a915-cf19-4f26-b717-15cdb15d08d1"/>
  </ds:schemaRefs>
</ds:datastoreItem>
</file>

<file path=customXml/itemProps3.xml><?xml version="1.0" encoding="utf-8"?>
<ds:datastoreItem xmlns:ds="http://schemas.openxmlformats.org/officeDocument/2006/customXml" ds:itemID="{C1710CDF-683A-46A5-AF60-42740064C7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equipos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Mateo</dc:creator>
  <cp:keywords/>
  <dc:description/>
  <cp:lastModifiedBy>Jesus Mateo</cp:lastModifiedBy>
  <cp:revision/>
  <cp:lastPrinted>2024-12-19T13:01:34Z</cp:lastPrinted>
  <dcterms:created xsi:type="dcterms:W3CDTF">2015-06-05T18:17:20Z</dcterms:created>
  <dcterms:modified xsi:type="dcterms:W3CDTF">2025-02-25T15:51:16Z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0x0101005A06CC86B776B04EBB397B560E0B178F</vt:lpwstr>
  </property>
  <property fmtid="{D5CDD505-2E9C-101B-9397-08002B2CF9AE}" pid="3" name="Order">
    <vt:r8>2600</vt:r8>
  </property>
  <property fmtid="{D5CDD505-2E9C-101B-9397-08002B2CF9AE}" pid="4" name="MediaServiceImageTags">
    <vt:lpwstr/>
  </property>
</Properties>
</file>